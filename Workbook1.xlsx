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4"/>
  </bookViews>
  <sheets>
    <sheet name="sales_analysis" sheetId="1" r:id="rId1"/>
    <sheet name="KPI" sheetId="2" r:id="rId2"/>
    <sheet name="Sheet3" sheetId="3" r:id="rId3"/>
    <sheet name="sheet 4" sheetId="4" r:id="rId4"/>
    <sheet name="sales persons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<sst xmlns="http://schemas.openxmlformats.org/spreadsheetml/2006/main" count="104" uniqueCount="66">
  <si>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orderid</t>
  </si>
  <si>
    <t>product</t>
  </si>
  <si>
    <t>region</t>
  </si>
  <si>
    <t>salesperson</t>
  </si>
  <si>
    <t>units</t>
  </si>
  <si>
    <t>unit_price</t>
  </si>
  <si>
    <t>discount</t>
  </si>
  <si>
    <t>Gross sales</t>
  </si>
  <si>
    <t>Discount Amount</t>
  </si>
  <si>
    <t>net sales</t>
  </si>
  <si>
    <t>Tax amount</t>
  </si>
  <si>
    <t>final sales</t>
  </si>
  <si>
    <t>profi est</t>
  </si>
  <si>
    <t>profit margin</t>
  </si>
  <si>
    <t xml:space="preserve">  DM 1001</t>
  </si>
  <si>
    <t>rice</t>
  </si>
  <si>
    <t>east</t>
  </si>
  <si>
    <t>ravi</t>
  </si>
  <si>
    <t xml:space="preserve">  DM 1002</t>
  </si>
  <si>
    <t>oil</t>
  </si>
  <si>
    <t>west</t>
  </si>
  <si>
    <t>arun</t>
  </si>
  <si>
    <t xml:space="preserve">  DM  1003</t>
  </si>
  <si>
    <t>sugar</t>
  </si>
  <si>
    <t>north</t>
  </si>
  <si>
    <t>priya</t>
  </si>
  <si>
    <t>south</t>
  </si>
  <si>
    <t>sneha</t>
  </si>
  <si>
    <t>Metric</t>
  </si>
  <si>
    <t>values</t>
  </si>
  <si>
    <t>Total sales</t>
  </si>
  <si>
    <t>Mean sales</t>
  </si>
  <si>
    <t>max sales</t>
  </si>
  <si>
    <t>lowest sales</t>
  </si>
  <si>
    <t>no of orders</t>
  </si>
  <si>
    <t>no of orders (characters)</t>
  </si>
  <si>
    <t>TOTAL UNITS</t>
  </si>
  <si>
    <t>CUSTOMER NAME</t>
  </si>
  <si>
    <t>STORES</t>
  </si>
  <si>
    <t>CATEGORY _CUSTOMER</t>
  </si>
  <si>
    <t>PINCODE</t>
  </si>
  <si>
    <t>cust_id</t>
  </si>
  <si>
    <t>JOHN</t>
  </si>
  <si>
    <t>s1</t>
  </si>
  <si>
    <t>regular</t>
  </si>
  <si>
    <t>DAVID</t>
  </si>
  <si>
    <t>s2</t>
  </si>
  <si>
    <t>loyal</t>
  </si>
  <si>
    <t>WICK</t>
  </si>
  <si>
    <t>s3</t>
  </si>
  <si>
    <t>non_regular</t>
  </si>
  <si>
    <t>SMITH</t>
  </si>
  <si>
    <t>EVA</t>
  </si>
  <si>
    <t>BECKHAM</t>
  </si>
  <si>
    <t>GORGE</t>
  </si>
  <si>
    <t>LILLY</t>
  </si>
  <si>
    <t>MARY</t>
  </si>
  <si>
    <t xml:space="preserve">region </t>
  </si>
  <si>
    <t>sales</t>
  </si>
  <si>
    <t>no of sales</t>
  </si>
  <si>
    <t xml:space="preserve">east </t>
  </si>
  <si>
    <t xml:space="preserve">west </t>
  </si>
  <si>
    <t>person</t>
  </si>
  <si>
    <t>incentive</t>
  </si>
  <si>
    <t>total sales of rice in east region</t>
  </si>
  <si>
    <t>count_eat_rice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</si>
</sst>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H1" sqref="H$1:H$1048576"/>
    </sheetView>
  </sheetViews>
  <sheetFormatPr defaultColWidth="8.88888888888889" defaultRowHeight="14.4"/>
  <cols>
    <col min="4" max="4" width="10.4444444444444" customWidth="1"/>
    <col min="6" max="6" width="14.1111111111111"/>
    <col min="8" max="8" width="10.3333333333333" customWidth="1"/>
    <col min="9" max="9" width="14.8888888888889" customWidth="1"/>
    <col min="10" max="10" width="9.66666666666667" customWidth="1"/>
    <col min="11" max="11" width="10" customWidth="1"/>
    <col min="12" max="12" width="9.66666666666667"/>
    <col min="14" max="14" width="14.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10</v>
      </c>
      <c r="F2">
        <v>500</v>
      </c>
      <c r="G2" s="1">
        <v>0.05</v>
      </c>
      <c r="H2">
        <f>(E2)*(F2)</f>
        <v>5000</v>
      </c>
      <c r="I2">
        <f>(H2)*(G2)</f>
        <v>250</v>
      </c>
      <c r="J2">
        <f>H2-I2</f>
        <v>4750</v>
      </c>
      <c r="K2">
        <f>J2*18%</f>
        <v>855</v>
      </c>
      <c r="L2">
        <f>J2+K2</f>
        <v>5605</v>
      </c>
      <c r="M2">
        <f>J2-H2*70%</f>
        <v>1250</v>
      </c>
      <c r="N2">
        <f>M2/J2</f>
        <v>0.263157894736842</v>
      </c>
    </row>
    <row r="3" spans="1:14">
      <c r="A3" t="s">
        <v>18</v>
      </c>
      <c r="B3" t="s">
        <v>19</v>
      </c>
      <c r="C3" t="s">
        <v>20</v>
      </c>
      <c r="D3" t="s">
        <v>21</v>
      </c>
      <c r="E3">
        <v>15</v>
      </c>
      <c r="F3">
        <v>180</v>
      </c>
      <c r="G3" s="1">
        <v>0.1</v>
      </c>
      <c r="H3">
        <f t="shared" ref="H3:H11" si="0">(E3)*(F3)</f>
        <v>2700</v>
      </c>
      <c r="I3">
        <f t="shared" ref="I3:I11" si="1">(H3)*(G3)</f>
        <v>270</v>
      </c>
      <c r="J3">
        <f t="shared" ref="J3:J11" si="2">H3-I3</f>
        <v>2430</v>
      </c>
      <c r="K3">
        <f t="shared" ref="K3:K11" si="3">J3*18%</f>
        <v>437.4</v>
      </c>
      <c r="L3">
        <f t="shared" ref="L3:L11" si="4">J3+K3</f>
        <v>2867.4</v>
      </c>
      <c r="M3">
        <f t="shared" ref="M3:M11" si="5">J3-H3*70%</f>
        <v>540</v>
      </c>
      <c r="N3">
        <f t="shared" ref="N3:N11" si="6">M3/J3</f>
        <v>0.222222222222222</v>
      </c>
    </row>
    <row r="4" spans="1:14">
      <c r="A4" t="s">
        <v>22</v>
      </c>
      <c r="B4" t="s">
        <v>23</v>
      </c>
      <c r="C4" t="s">
        <v>24</v>
      </c>
      <c r="D4" t="s">
        <v>25</v>
      </c>
      <c r="E4">
        <v>20</v>
      </c>
      <c r="F4">
        <v>50</v>
      </c>
      <c r="G4" s="1">
        <v>0.05</v>
      </c>
      <c r="H4">
        <f t="shared" si="0"/>
        <v>1000</v>
      </c>
      <c r="I4">
        <f t="shared" si="1"/>
        <v>50</v>
      </c>
      <c r="J4">
        <f t="shared" si="2"/>
        <v>950</v>
      </c>
      <c r="K4">
        <f t="shared" si="3"/>
        <v>171</v>
      </c>
      <c r="L4">
        <f t="shared" si="4"/>
        <v>1121</v>
      </c>
      <c r="M4">
        <f t="shared" si="5"/>
        <v>250</v>
      </c>
      <c r="N4">
        <f t="shared" si="6"/>
        <v>0.263157894736842</v>
      </c>
    </row>
    <row r="5" spans="1:14">
      <c r="A5">
        <v>1004</v>
      </c>
      <c r="B5" t="s">
        <v>15</v>
      </c>
      <c r="C5" t="s">
        <v>26</v>
      </c>
      <c r="D5" t="s">
        <v>27</v>
      </c>
      <c r="E5">
        <v>8</v>
      </c>
      <c r="F5">
        <v>500</v>
      </c>
      <c r="G5" s="1">
        <v>0</v>
      </c>
      <c r="H5">
        <f t="shared" si="0"/>
        <v>4000</v>
      </c>
      <c r="I5">
        <f t="shared" si="1"/>
        <v>0</v>
      </c>
      <c r="J5">
        <f t="shared" si="2"/>
        <v>4000</v>
      </c>
      <c r="K5">
        <f t="shared" si="3"/>
        <v>720</v>
      </c>
      <c r="L5">
        <f t="shared" si="4"/>
        <v>4720</v>
      </c>
      <c r="M5">
        <f t="shared" si="5"/>
        <v>1200</v>
      </c>
      <c r="N5">
        <f t="shared" si="6"/>
        <v>0.3</v>
      </c>
    </row>
    <row r="6" spans="1:14">
      <c r="A6">
        <v>1005</v>
      </c>
      <c r="B6" t="s">
        <v>19</v>
      </c>
      <c r="C6" t="s">
        <v>16</v>
      </c>
      <c r="D6" t="s">
        <v>17</v>
      </c>
      <c r="E6">
        <v>12</v>
      </c>
      <c r="F6">
        <v>180</v>
      </c>
      <c r="G6" s="1">
        <v>0.08</v>
      </c>
      <c r="H6">
        <f t="shared" si="0"/>
        <v>2160</v>
      </c>
      <c r="I6">
        <f t="shared" si="1"/>
        <v>172.8</v>
      </c>
      <c r="J6">
        <f t="shared" si="2"/>
        <v>1987.2</v>
      </c>
      <c r="K6">
        <f t="shared" si="3"/>
        <v>357.696</v>
      </c>
      <c r="L6">
        <f t="shared" si="4"/>
        <v>2344.896</v>
      </c>
      <c r="M6">
        <f t="shared" si="5"/>
        <v>475.2</v>
      </c>
      <c r="N6">
        <f t="shared" si="6"/>
        <v>0.239130434782609</v>
      </c>
    </row>
    <row r="7" spans="1:14">
      <c r="A7">
        <v>1006</v>
      </c>
      <c r="B7" t="s">
        <v>23</v>
      </c>
      <c r="C7" t="s">
        <v>20</v>
      </c>
      <c r="D7" t="s">
        <v>21</v>
      </c>
      <c r="E7">
        <v>25</v>
      </c>
      <c r="F7">
        <v>50</v>
      </c>
      <c r="G7" s="1">
        <v>0.05</v>
      </c>
      <c r="H7">
        <f t="shared" si="0"/>
        <v>1250</v>
      </c>
      <c r="I7">
        <f t="shared" si="1"/>
        <v>62.5</v>
      </c>
      <c r="J7">
        <f t="shared" si="2"/>
        <v>1187.5</v>
      </c>
      <c r="K7">
        <f t="shared" si="3"/>
        <v>213.75</v>
      </c>
      <c r="L7">
        <f t="shared" si="4"/>
        <v>1401.25</v>
      </c>
      <c r="M7">
        <f t="shared" si="5"/>
        <v>312.5</v>
      </c>
      <c r="N7">
        <f t="shared" si="6"/>
        <v>0.263157894736842</v>
      </c>
    </row>
    <row r="8" spans="1:14">
      <c r="A8">
        <v>1007</v>
      </c>
      <c r="B8" t="s">
        <v>15</v>
      </c>
      <c r="C8" t="s">
        <v>24</v>
      </c>
      <c r="D8" t="s">
        <v>25</v>
      </c>
      <c r="E8">
        <v>6</v>
      </c>
      <c r="F8">
        <v>500</v>
      </c>
      <c r="G8" s="1">
        <v>0.1</v>
      </c>
      <c r="H8">
        <f t="shared" si="0"/>
        <v>3000</v>
      </c>
      <c r="I8">
        <f t="shared" si="1"/>
        <v>300</v>
      </c>
      <c r="J8">
        <f t="shared" si="2"/>
        <v>2700</v>
      </c>
      <c r="K8">
        <f t="shared" si="3"/>
        <v>486</v>
      </c>
      <c r="L8">
        <f t="shared" si="4"/>
        <v>3186</v>
      </c>
      <c r="M8">
        <f t="shared" si="5"/>
        <v>600</v>
      </c>
      <c r="N8">
        <f t="shared" si="6"/>
        <v>0.222222222222222</v>
      </c>
    </row>
    <row r="9" spans="1:14">
      <c r="A9">
        <v>1008</v>
      </c>
      <c r="B9" t="s">
        <v>19</v>
      </c>
      <c r="C9" t="s">
        <v>26</v>
      </c>
      <c r="D9" t="s">
        <v>27</v>
      </c>
      <c r="E9">
        <v>18</v>
      </c>
      <c r="F9">
        <v>180</v>
      </c>
      <c r="G9" s="1">
        <v>0.05</v>
      </c>
      <c r="H9">
        <f t="shared" si="0"/>
        <v>3240</v>
      </c>
      <c r="I9">
        <f t="shared" si="1"/>
        <v>162</v>
      </c>
      <c r="J9">
        <f t="shared" si="2"/>
        <v>3078</v>
      </c>
      <c r="K9">
        <f t="shared" si="3"/>
        <v>554.04</v>
      </c>
      <c r="L9">
        <f t="shared" si="4"/>
        <v>3632.04</v>
      </c>
      <c r="M9">
        <f t="shared" si="5"/>
        <v>810</v>
      </c>
      <c r="N9">
        <f t="shared" si="6"/>
        <v>0.263157894736842</v>
      </c>
    </row>
    <row r="10" spans="1:14">
      <c r="A10">
        <v>1009</v>
      </c>
      <c r="B10" t="s">
        <v>23</v>
      </c>
      <c r="C10" t="s">
        <v>16</v>
      </c>
      <c r="D10" t="s">
        <v>17</v>
      </c>
      <c r="E10">
        <v>30</v>
      </c>
      <c r="F10">
        <v>50</v>
      </c>
      <c r="G10" s="1">
        <v>0</v>
      </c>
      <c r="H10">
        <f t="shared" si="0"/>
        <v>1500</v>
      </c>
      <c r="I10">
        <f t="shared" si="1"/>
        <v>0</v>
      </c>
      <c r="J10">
        <f t="shared" si="2"/>
        <v>1500</v>
      </c>
      <c r="K10">
        <f t="shared" si="3"/>
        <v>270</v>
      </c>
      <c r="L10">
        <f t="shared" si="4"/>
        <v>1770</v>
      </c>
      <c r="M10">
        <f t="shared" si="5"/>
        <v>450</v>
      </c>
      <c r="N10">
        <f t="shared" si="6"/>
        <v>0.3</v>
      </c>
    </row>
    <row r="11" spans="1:14">
      <c r="A11">
        <v>1010</v>
      </c>
      <c r="B11" t="s">
        <v>15</v>
      </c>
      <c r="C11" t="s">
        <v>20</v>
      </c>
      <c r="D11" t="s">
        <v>25</v>
      </c>
      <c r="E11">
        <v>14</v>
      </c>
      <c r="F11">
        <v>500</v>
      </c>
      <c r="G11" s="1">
        <v>0.08</v>
      </c>
      <c r="H11">
        <f t="shared" si="0"/>
        <v>7000</v>
      </c>
      <c r="I11">
        <f t="shared" si="1"/>
        <v>560</v>
      </c>
      <c r="J11">
        <f t="shared" si="2"/>
        <v>6440</v>
      </c>
      <c r="K11">
        <f t="shared" si="3"/>
        <v>1159.2</v>
      </c>
      <c r="L11">
        <f t="shared" si="4"/>
        <v>7599.2</v>
      </c>
      <c r="M11">
        <f t="shared" si="5"/>
        <v>1540</v>
      </c>
      <c r="N11">
        <f t="shared" si="6"/>
        <v>0.239130434782609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9" sqref="A9"/>
    </sheetView>
  </sheetViews>
  <sheetFormatPr defaultColWidth="8.88888888888889" defaultRowHeight="14.4" outlineLevelRow="7" outlineLevelCol="1"/>
  <cols>
    <col min="1" max="1" width="28.8888888888889" customWidth="1"/>
    <col min="2" max="2" width="15.1111111111111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>
        <f>SUM(sales_analysis!J2:J11)</f>
        <v>29022.7</v>
      </c>
    </row>
    <row r="3" spans="1:2">
      <c r="A3" t="s">
        <v>31</v>
      </c>
      <c r="B3">
        <f>AVERAGE(sales_analysis!J2:J11)</f>
        <v>2902.27</v>
      </c>
    </row>
    <row r="4" spans="1:2">
      <c r="A4" t="s">
        <v>32</v>
      </c>
      <c r="B4">
        <f>MAX(sales_analysis!J2:J11)</f>
        <v>6440</v>
      </c>
    </row>
    <row r="5" spans="1:2">
      <c r="A5" t="s">
        <v>33</v>
      </c>
      <c r="B5">
        <f>MIN(sales_analysis!J2:J11)</f>
        <v>950</v>
      </c>
    </row>
    <row r="6" spans="1:2">
      <c r="A6" t="s">
        <v>34</v>
      </c>
      <c r="B6">
        <f>COUNT(sales_analysis!J2:J11)</f>
        <v>10</v>
      </c>
    </row>
    <row r="7" spans="1:2">
      <c r="A7" t="s">
        <v>35</v>
      </c>
      <c r="B7">
        <f>COUNTA(sales_analysis!A2:A11)</f>
        <v>10</v>
      </c>
    </row>
    <row r="8" spans="1:2">
      <c r="A8" t="s">
        <v>36</v>
      </c>
      <c r="B8">
        <f>SUM(sales_analysis!E1:E11)</f>
        <v>158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2" sqref="E2"/>
    </sheetView>
  </sheetViews>
  <sheetFormatPr defaultColWidth="8.88888888888889" defaultRowHeight="14.4" outlineLevelCol="4"/>
  <cols>
    <col min="1" max="1" width="29.3333333333333" customWidth="1"/>
    <col min="3" max="3" width="22" customWidth="1"/>
    <col min="4" max="4" width="16" customWidth="1"/>
    <col min="5" max="5" width="13.6666666666667" customWidth="1"/>
    <col min="6" max="6" width="12.3333333333333" customWidth="1"/>
    <col min="7" max="7" width="11.3333333333333" customWidth="1"/>
    <col min="8" max="8" width="12.7777777777778" customWidth="1"/>
  </cols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42</v>
      </c>
      <c r="B2" t="s">
        <v>43</v>
      </c>
      <c r="C2" t="s">
        <v>44</v>
      </c>
      <c r="D2">
        <v>560062</v>
      </c>
      <c r="E2" t="str">
        <f>LEFT(A2,2)&amp;B2&amp;LEFT(C2,2)&amp;RIGHT(D2,2)</f>
        <v>JOs1re62</v>
      </c>
    </row>
    <row r="3" spans="1:5">
      <c r="A3" t="s">
        <v>45</v>
      </c>
      <c r="B3" t="s">
        <v>46</v>
      </c>
      <c r="C3" t="s">
        <v>47</v>
      </c>
      <c r="D3">
        <v>560078</v>
      </c>
      <c r="E3" t="str">
        <f t="shared" ref="E3:E10" si="0">LEFT(A3,2)&amp;B3&amp;LEFT(C3,2)&amp;RIGHT(D3,2)</f>
        <v>DAs2lo78</v>
      </c>
    </row>
    <row r="4" spans="1:5">
      <c r="A4" t="s">
        <v>48</v>
      </c>
      <c r="B4" t="s">
        <v>49</v>
      </c>
      <c r="C4" t="s">
        <v>50</v>
      </c>
      <c r="D4">
        <v>560098</v>
      </c>
      <c r="E4" t="str">
        <f t="shared" si="0"/>
        <v>WIs3no98</v>
      </c>
    </row>
    <row r="5" spans="1:5">
      <c r="A5" t="s">
        <v>51</v>
      </c>
      <c r="B5" t="s">
        <v>43</v>
      </c>
      <c r="C5" t="s">
        <v>44</v>
      </c>
      <c r="D5">
        <v>560063</v>
      </c>
      <c r="E5" t="str">
        <f t="shared" si="0"/>
        <v>SMs1re63</v>
      </c>
    </row>
    <row r="6" spans="1:5">
      <c r="A6" t="s">
        <v>52</v>
      </c>
      <c r="B6" t="s">
        <v>46</v>
      </c>
      <c r="C6" t="s">
        <v>47</v>
      </c>
      <c r="D6">
        <v>560075</v>
      </c>
      <c r="E6" t="str">
        <f t="shared" si="0"/>
        <v>EVs2lo75</v>
      </c>
    </row>
    <row r="7" spans="1:5">
      <c r="A7" t="s">
        <v>53</v>
      </c>
      <c r="B7" t="s">
        <v>49</v>
      </c>
      <c r="C7" t="s">
        <v>50</v>
      </c>
      <c r="D7">
        <v>560043</v>
      </c>
      <c r="E7" t="str">
        <f t="shared" si="0"/>
        <v>BEs3no43</v>
      </c>
    </row>
    <row r="8" spans="1:5">
      <c r="A8" t="s">
        <v>54</v>
      </c>
      <c r="B8" t="s">
        <v>43</v>
      </c>
      <c r="C8" t="s">
        <v>44</v>
      </c>
      <c r="D8">
        <v>560001</v>
      </c>
      <c r="E8" t="str">
        <f t="shared" si="0"/>
        <v>GOs1re01</v>
      </c>
    </row>
    <row r="9" spans="1:5">
      <c r="A9" t="s">
        <v>55</v>
      </c>
      <c r="B9" t="s">
        <v>46</v>
      </c>
      <c r="C9" t="s">
        <v>47</v>
      </c>
      <c r="D9">
        <v>560010</v>
      </c>
      <c r="E9" t="str">
        <f t="shared" si="0"/>
        <v>LIs2lo10</v>
      </c>
    </row>
    <row r="10" spans="1:5">
      <c r="A10" t="s">
        <v>56</v>
      </c>
      <c r="B10" t="s">
        <v>49</v>
      </c>
      <c r="C10" t="s">
        <v>50</v>
      </c>
      <c r="D10">
        <v>560073</v>
      </c>
      <c r="E10" t="str">
        <f t="shared" si="0"/>
        <v>MAs3no73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6" sqref="C6"/>
    </sheetView>
  </sheetViews>
  <sheetFormatPr defaultColWidth="8.88888888888889" defaultRowHeight="14.4" outlineLevelRow="4" outlineLevelCol="2"/>
  <cols>
    <col min="1" max="1" width="12.3333333333333" customWidth="1"/>
  </cols>
  <sheetData>
    <row r="1" spans="1:3">
      <c r="A1" t="s">
        <v>57</v>
      </c>
      <c r="B1" t="s">
        <v>58</v>
      </c>
      <c r="C1" t="s">
        <v>59</v>
      </c>
    </row>
    <row r="2" spans="1:3">
      <c r="A2" t="s">
        <v>60</v>
      </c>
      <c r="B2">
        <f>SUMIF(sales_analysis!C2:C11,"east",sales_analysis!J2:J11)</f>
        <v>8237.2</v>
      </c>
      <c r="C2">
        <f>COUNTIF(sales_analysis!C2:C11,"east")</f>
        <v>3</v>
      </c>
    </row>
    <row r="3" spans="1:3">
      <c r="A3" t="s">
        <v>61</v>
      </c>
      <c r="B3">
        <f>SUMIF(sales_analysis!C2:C11,"west",sales_analysis!J2:J11)</f>
        <v>10057.5</v>
      </c>
      <c r="C3">
        <f>COUNTIF(sales_analysis!C2:C11,"west")</f>
        <v>3</v>
      </c>
    </row>
    <row r="4" spans="1:3">
      <c r="A4" t="s">
        <v>24</v>
      </c>
      <c r="B4">
        <f>SUMIF(sales_analysis!C2:C11,"north",sales_analysis!J2:J11)</f>
        <v>3650</v>
      </c>
      <c r="C4">
        <f>COUNTIF(sales_analysis!C2:C11,"north")</f>
        <v>2</v>
      </c>
    </row>
    <row r="5" spans="1:3">
      <c r="A5" t="s">
        <v>26</v>
      </c>
      <c r="B5">
        <f>SUMIF(sales_analysis!C2:C11,"south",sales_analysis!J2:J11)</f>
        <v>7078</v>
      </c>
      <c r="C5">
        <f>COUNTIF(sales_analysis!C2:C11,"south")</f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2" sqref="E2"/>
    </sheetView>
  </sheetViews>
  <sheetFormatPr defaultColWidth="8.88888888888889" defaultRowHeight="14.4" outlineLevelRow="4" outlineLevelCol="4"/>
  <cols>
    <col min="4" max="4" width="25.8888888888889" customWidth="1"/>
    <col min="5" max="5" width="13.2222222222222" customWidth="1"/>
  </cols>
  <sheetData>
    <row r="1" spans="1:5">
      <c r="A1" t="s">
        <v>62</v>
      </c>
      <c r="B1" t="s">
        <v>58</v>
      </c>
      <c r="C1" t="s">
        <v>63</v>
      </c>
      <c r="D1" t="s">
        <v>64</v>
      </c>
      <c r="E1" t="s">
        <v>65</v>
      </c>
    </row>
    <row r="2" spans="1:5">
      <c r="A2" t="s">
        <v>17</v>
      </c>
      <c r="B2">
        <f>SUMIF(sales_analysis!D2:D11,"ravi",sales_analysis!J2:J11)</f>
        <v>8237.2</v>
      </c>
      <c r="C2">
        <f>IF(B2&gt;4000,B2*10%+B2)</f>
        <v>9060.92</v>
      </c>
      <c r="D2">
        <f>SUMIFS(sales_analysis!J2:J11,sales_analysis!C2:C11,"east",sales_analysis!B2:B11,"rice")</f>
        <v>4750</v>
      </c>
      <c r="E2">
        <f>COUNTIFS(sales_analysis!B2:B11,"rice",sales_analysis!C2:C11,"east")</f>
        <v>1</v>
      </c>
    </row>
    <row r="3" spans="1:5">
      <c r="A3" t="s">
        <v>21</v>
      </c>
      <c r="B3">
        <f>SUMIF(sales_analysis!D2:D11,"arun",sales_analysis!J2:J11)</f>
        <v>3617.5</v>
      </c>
      <c r="C3" t="b">
        <f>IF(B3&gt;4000,B3*10%+B3)</f>
        <v>0</v>
      </c>
    </row>
    <row r="4" spans="1:5">
      <c r="A4" t="s">
        <v>25</v>
      </c>
      <c r="B4">
        <f>SUMIF(sales_analysis!D2:D11,"priya",sales_analysis!J2:J11)</f>
        <v>10090</v>
      </c>
      <c r="C4">
        <f>IF(B4&gt;4000,B4*10%+B4)</f>
        <v>11099</v>
      </c>
    </row>
    <row r="5" spans="1:5">
      <c r="A5" t="s">
        <v>27</v>
      </c>
      <c r="B5">
        <f>SUMIF(sales_analysis!D2:D11,"sneha",sales_analysis!J2:J11)</f>
        <v>7078</v>
      </c>
      <c r="C5">
        <f>IF(B5&gt;4000,B5*10%+B5)</f>
        <v>7785.8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sales_analysis</vt:lpstr>
      <vt:lpstr>KPI</vt:lpstr>
      <vt:lpstr>Sheet3</vt:lpstr>
      <vt:lpstr>sheet 4</vt:lpstr>
      <vt:lpstr>sales persons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</dc:creator>
  <cp:lastModifiedBy>91983</cp:lastModifiedBy>
  <dcterms:created xsi:type="dcterms:W3CDTF">2026-08-20T04:00:00Z</dcterms:created>
  <dcterms:modified xsi:type="dcterms:W3CDTF">2026-08-21T05:28:23Z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00A7AC80D84742C891E4099C9BF86D81_13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